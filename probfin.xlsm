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Productivity\"/>
    </mc:Choice>
  </mc:AlternateContent>
  <xr:revisionPtr revIDLastSave="0" documentId="13_ncr:1_{4F570CA4-4AFD-4E2F-AAA3-DC2E76917B28}" xr6:coauthVersionLast="47" xr6:coauthVersionMax="47" xr10:uidLastSave="{00000000-0000-0000-0000-000000000000}"/>
  <bookViews>
    <workbookView xWindow="-120" yWindow="-120" windowWidth="20730" windowHeight="11160" activeTab="2" xr2:uid="{E941911F-C6EB-4221-84B8-2FB80A4AD8A6}"/>
  </bookViews>
  <sheets>
    <sheet name="Tracker" sheetId="2" r:id="rId1"/>
    <sheet name="Data" sheetId="1" r:id="rId2"/>
    <sheet name="Dashboard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5" i="2" l="1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</calcChain>
</file>

<file path=xl/sharedStrings.xml><?xml version="1.0" encoding="utf-8"?>
<sst xmlns="http://schemas.openxmlformats.org/spreadsheetml/2006/main" count="109" uniqueCount="31">
  <si>
    <t>Date</t>
  </si>
  <si>
    <t>Task</t>
  </si>
  <si>
    <t>Category</t>
  </si>
  <si>
    <t>Planned Hours</t>
  </si>
  <si>
    <t>Actual Hours</t>
  </si>
  <si>
    <t>Goal (Y/N)</t>
  </si>
  <si>
    <t>Status</t>
  </si>
  <si>
    <t>Sleep</t>
  </si>
  <si>
    <t>Complete</t>
  </si>
  <si>
    <t>Chinese</t>
  </si>
  <si>
    <t>SQL</t>
  </si>
  <si>
    <t>Exercise</t>
  </si>
  <si>
    <t>Total Hours</t>
  </si>
  <si>
    <t>sleep</t>
  </si>
  <si>
    <t>productive</t>
  </si>
  <si>
    <t>Productive Hours</t>
  </si>
  <si>
    <t>KPI</t>
  </si>
  <si>
    <t>Value</t>
  </si>
  <si>
    <t>Mobile</t>
  </si>
  <si>
    <t>Movie</t>
  </si>
  <si>
    <t>non-productive</t>
  </si>
  <si>
    <t>complete</t>
  </si>
  <si>
    <t xml:space="preserve">incomplete </t>
  </si>
  <si>
    <t>Total Productive Hours</t>
  </si>
  <si>
    <t>Total Sleep Hours</t>
  </si>
  <si>
    <t>Total Non-Productive Hours</t>
  </si>
  <si>
    <t>Completion Rate (%)</t>
  </si>
  <si>
    <t>Consistency Index (StdDev)</t>
  </si>
  <si>
    <t>Avg Productive Hours/Day</t>
  </si>
  <si>
    <t>Performance Score</t>
  </si>
  <si>
    <t>MY PRODUCTIVITY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</si>
</sst>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5"/>
      <color theme="3"/>
      <name val="MV Boli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5">
    <xf numFmtId="0" fontId="0" fillId="0" borderId="0" xfId="0"/>
    <xf numFmtId="14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4" fontId="0" fillId="0" borderId="0" xfId="0" applyNumberFormat="1"/>
    <xf numFmtId="0" fontId="3" fillId="0" borderId="1" xfId="1" applyFont="1" applyAlignment="1">
      <alignment horizontal="center"/>
    </xf>
  </cellXfs>
  <cellStyles count="2">
    <cellStyle name="Heading 1" xfId="1" builtinId="1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Hours spent on...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cat>
            <c:strRef>
              <c:f>Data!$D$2:$D$7</c:f>
              <c:strCache>
                <c:ptCount val="6"/>
                <c:pt idx="0">
                  <c:v>Sleep</c:v>
                </c:pt>
                <c:pt idx="1">
                  <c:v>Chinese</c:v>
                </c:pt>
                <c:pt idx="2">
                  <c:v>SQL</c:v>
                </c:pt>
                <c:pt idx="3">
                  <c:v>Exercise</c:v>
                </c:pt>
                <c:pt idx="4">
                  <c:v>Mobile</c:v>
                </c:pt>
                <c:pt idx="5">
                  <c:v>Movie</c:v>
                </c:pt>
              </c:strCache>
            </c:strRef>
          </c:cat>
          <c:val>
            <c:numRef>
              <c:f>Data!$E$2:$E$7</c:f>
              <c:numCache>
                <c:formatCode>General</c:formatCode>
                <c:ptCount val="6"/>
                <c:pt idx="0">
                  <c:v>28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4.5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14-4F79-9C69-24BF551E6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6"/>
        <c:overlap val="-58"/>
        <c:axId val="1015861552"/>
        <c:axId val="1015866128"/>
      </c:barChart>
      <c:catAx>
        <c:axId val="10158615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15000"/>
                <a:lumOff val="8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866128"/>
        <c:crosses val="autoZero"/>
        <c:auto val="1"/>
        <c:lblAlgn val="ctr"/>
        <c:lblOffset val="100"/>
        <c:noMultiLvlLbl val="0"/>
      </c:catAx>
      <c:valAx>
        <c:axId val="10158661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99000">
                    <a:schemeClr val="tx1">
                      <a:lumMod val="25000"/>
                      <a:lumOff val="75000"/>
                    </a:schemeClr>
                  </a:gs>
                  <a:gs pos="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86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TOTAL Hours</a:t>
            </a:r>
            <a:r>
              <a:rPr lang="en-US" baseline="0">
                <a:solidFill>
                  <a:sysClr val="windowText" lastClr="000000"/>
                </a:solidFill>
              </a:rPr>
              <a:t> distribution </a:t>
            </a:r>
            <a:endParaRPr lang="en-US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1077526895017665"/>
          <c:y val="0.246154040226267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8953864657132653"/>
          <c:y val="0.37350069735006974"/>
          <c:w val="0.25910861380990863"/>
          <c:h val="0.4542531765119318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B7A3-4329-A47A-30AC9CA27F15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B7A3-4329-A47A-30AC9CA27F15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B7A3-4329-A47A-30AC9CA27F15}"/>
              </c:ext>
            </c:extLst>
          </c:dPt>
          <c:dLbls>
            <c:delete val="1"/>
          </c:dLbls>
          <c:cat>
            <c:strRef>
              <c:f>Data!$A$2:$A$4</c:f>
              <c:strCache>
                <c:ptCount val="3"/>
                <c:pt idx="0">
                  <c:v>sleep</c:v>
                </c:pt>
                <c:pt idx="1">
                  <c:v>productive</c:v>
                </c:pt>
                <c:pt idx="2">
                  <c:v>non-productive</c:v>
                </c:pt>
              </c:strCache>
            </c:strRef>
          </c:cat>
          <c:val>
            <c:numRef>
              <c:f>Data!$B$2:$B$4</c:f>
              <c:numCache>
                <c:formatCode>General</c:formatCode>
                <c:ptCount val="3"/>
                <c:pt idx="0">
                  <c:v>28</c:v>
                </c:pt>
                <c:pt idx="1">
                  <c:v>21</c:v>
                </c:pt>
                <c:pt idx="2">
                  <c:v>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A3-4329-A47A-30AC9CA27F1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My Productivity(By Day)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Data!$G$2:$G$5</c:f>
              <c:numCache>
                <c:formatCode>m/d/yyyy</c:formatCode>
                <c:ptCount val="4"/>
                <c:pt idx="0">
                  <c:v>45893</c:v>
                </c:pt>
                <c:pt idx="1">
                  <c:v>45894</c:v>
                </c:pt>
                <c:pt idx="2">
                  <c:v>45895</c:v>
                </c:pt>
                <c:pt idx="3">
                  <c:v>45896</c:v>
                </c:pt>
              </c:numCache>
            </c:numRef>
          </c:cat>
          <c:val>
            <c:numRef>
              <c:f>Data!$H$2:$H$5</c:f>
              <c:numCache>
                <c:formatCode>General</c:formatCode>
                <c:ptCount val="4"/>
                <c:pt idx="0">
                  <c:v>3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47-4E1D-B463-DFBB36918E8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963842688"/>
        <c:axId val="963836864"/>
      </c:lineChart>
      <c:dateAx>
        <c:axId val="963842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3836864"/>
        <c:crosses val="autoZero"/>
        <c:auto val="1"/>
        <c:lblOffset val="100"/>
        <c:baseTimeUnit val="days"/>
      </c:dateAx>
      <c:valAx>
        <c:axId val="963836864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96384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60000"/>
        <a:lumOff val="40000"/>
      </a:schemeClr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Hours spent on...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cat>
            <c:strRef>
              <c:f>Data!$D$2:$D$7</c:f>
              <c:strCache>
                <c:ptCount val="6"/>
                <c:pt idx="0">
                  <c:v>Sleep</c:v>
                </c:pt>
                <c:pt idx="1">
                  <c:v>Chinese</c:v>
                </c:pt>
                <c:pt idx="2">
                  <c:v>SQL</c:v>
                </c:pt>
                <c:pt idx="3">
                  <c:v>Exercise</c:v>
                </c:pt>
                <c:pt idx="4">
                  <c:v>Mobile</c:v>
                </c:pt>
                <c:pt idx="5">
                  <c:v>Movie</c:v>
                </c:pt>
              </c:strCache>
            </c:strRef>
          </c:cat>
          <c:val>
            <c:numRef>
              <c:f>Data!$E$2:$E$7</c:f>
              <c:numCache>
                <c:formatCode>General</c:formatCode>
                <c:ptCount val="6"/>
                <c:pt idx="0">
                  <c:v>28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4.5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EC-426E-AFC7-653C4DA79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6"/>
        <c:overlap val="-58"/>
        <c:axId val="1015861552"/>
        <c:axId val="1015866128"/>
      </c:barChart>
      <c:catAx>
        <c:axId val="10158615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15000"/>
                <a:lumOff val="8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866128"/>
        <c:crosses val="autoZero"/>
        <c:auto val="1"/>
        <c:lblAlgn val="ctr"/>
        <c:lblOffset val="100"/>
        <c:noMultiLvlLbl val="0"/>
      </c:catAx>
      <c:valAx>
        <c:axId val="10158661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99000">
                    <a:schemeClr val="tx1">
                      <a:lumMod val="25000"/>
                      <a:lumOff val="75000"/>
                    </a:schemeClr>
                  </a:gs>
                  <a:gs pos="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86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99000">
              <a:schemeClr val="tx1">
                <a:lumMod val="25000"/>
                <a:lumOff val="75000"/>
              </a:schemeClr>
            </a:gs>
            <a:gs pos="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15000"/>
                <a:lumOff val="85000"/>
              </a:schemeClr>
            </a:gs>
            <a:gs pos="0">
              <a:schemeClr val="tx1">
                <a:lumMod val="5000"/>
                <a:lumOff val="9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99000">
              <a:schemeClr val="tx1">
                <a:lumMod val="25000"/>
                <a:lumOff val="75000"/>
              </a:schemeClr>
            </a:gs>
            <a:gs pos="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15000"/>
                <a:lumOff val="85000"/>
              </a:schemeClr>
            </a:gs>
            <a:gs pos="0">
              <a:schemeClr val="tx1">
                <a:lumMod val="5000"/>
                <a:lumOff val="9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0</xdr:row>
          <xdr:rowOff>104775</xdr:rowOff>
        </xdr:from>
        <xdr:to>
          <xdr:col>7</xdr:col>
          <xdr:colOff>666750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481012</xdr:colOff>
      <xdr:row>8</xdr:row>
      <xdr:rowOff>23812</xdr:rowOff>
    </xdr:from>
    <xdr:to>
      <xdr:col>9</xdr:col>
      <xdr:colOff>814387</xdr:colOff>
      <xdr:row>22</xdr:row>
      <xdr:rowOff>100012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1</xdr:row>
      <xdr:rowOff>38100</xdr:rowOff>
    </xdr:from>
    <xdr:to>
      <xdr:col>6</xdr:col>
      <xdr:colOff>2438400</xdr:colOff>
      <xdr:row>11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3276600</xdr:colOff>
      <xdr:row>4</xdr:row>
      <xdr:rowOff>0</xdr:rowOff>
    </xdr:from>
    <xdr:to>
      <xdr:col>6</xdr:col>
      <xdr:colOff>5229225</xdr:colOff>
      <xdr:row>8</xdr:row>
      <xdr:rowOff>180975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715125" y="800100"/>
          <a:ext cx="1952625" cy="942975"/>
        </a:xfrm>
        <a:prstGeom prst="roundRect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800" b="1" u="sng">
              <a:latin typeface="Bahnschrift SemiLight Condensed" panose="020B0502040204020203" pitchFamily="34" charset="0"/>
            </a:rPr>
            <a:t>Completion Rate(%)</a:t>
          </a:r>
        </a:p>
        <a:p>
          <a:pPr algn="ctr"/>
          <a:endParaRPr lang="en-US" sz="1800" b="1" u="sng">
            <a:latin typeface="Bahnschrift SemiLight Condensed" panose="020B0502040204020203" pitchFamily="34" charset="0"/>
          </a:endParaRPr>
        </a:p>
      </xdr:txBody>
    </xdr:sp>
    <xdr:clientData/>
  </xdr:twoCellAnchor>
  <xdr:twoCellAnchor>
    <xdr:from>
      <xdr:col>6</xdr:col>
      <xdr:colOff>3505200</xdr:colOff>
      <xdr:row>5</xdr:row>
      <xdr:rowOff>104775</xdr:rowOff>
    </xdr:from>
    <xdr:to>
      <xdr:col>6</xdr:col>
      <xdr:colOff>5172075</xdr:colOff>
      <xdr:row>8</xdr:row>
      <xdr:rowOff>171450</xdr:rowOff>
    </xdr:to>
    <xdr:sp macro="" textlink="Data!K5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6943725" y="1095375"/>
          <a:ext cx="1666875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9332D36-FFF9-4F13-BF78-AA45CB4F6C16}" type="TxLink">
            <a:rPr lang="en-US" sz="3200" b="1" i="0" u="none" strike="noStrike">
              <a:solidFill>
                <a:srgbClr val="000000"/>
              </a:solidFill>
              <a:latin typeface="Bahnschrift Light" panose="020B0502040204020203" pitchFamily="34" charset="0"/>
              <a:cs typeface="Calibri"/>
            </a:rPr>
            <a:pPr algn="ctr"/>
            <a:t>50</a:t>
          </a:fld>
          <a:endParaRPr lang="en-US" sz="1400" b="1">
            <a:latin typeface="Bahnschrift Light" panose="020B0502040204020203" pitchFamily="34" charset="0"/>
          </a:endParaRPr>
        </a:p>
      </xdr:txBody>
    </xdr:sp>
    <xdr:clientData/>
  </xdr:twoCellAnchor>
  <xdr:twoCellAnchor>
    <xdr:from>
      <xdr:col>6</xdr:col>
      <xdr:colOff>5619750</xdr:colOff>
      <xdr:row>3</xdr:row>
      <xdr:rowOff>171450</xdr:rowOff>
    </xdr:from>
    <xdr:to>
      <xdr:col>6</xdr:col>
      <xdr:colOff>7572375</xdr:colOff>
      <xdr:row>8</xdr:row>
      <xdr:rowOff>161925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9058275" y="781050"/>
          <a:ext cx="1952625" cy="942975"/>
        </a:xfrm>
        <a:prstGeom prst="roundRect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800" b="1" u="sng">
              <a:latin typeface="Bahnschrift SemiLight Condensed" panose="020B0502040204020203" pitchFamily="34" charset="0"/>
            </a:rPr>
            <a:t>Consistency Index</a:t>
          </a:r>
        </a:p>
        <a:p>
          <a:pPr algn="ctr"/>
          <a:endParaRPr lang="en-US" sz="1800" b="1" u="sng">
            <a:latin typeface="Bahnschrift SemiLight Condensed" panose="020B0502040204020203" pitchFamily="34" charset="0"/>
          </a:endParaRPr>
        </a:p>
      </xdr:txBody>
    </xdr:sp>
    <xdr:clientData/>
  </xdr:twoCellAnchor>
  <xdr:twoCellAnchor>
    <xdr:from>
      <xdr:col>6</xdr:col>
      <xdr:colOff>5791200</xdr:colOff>
      <xdr:row>5</xdr:row>
      <xdr:rowOff>123825</xdr:rowOff>
    </xdr:from>
    <xdr:to>
      <xdr:col>6</xdr:col>
      <xdr:colOff>7458075</xdr:colOff>
      <xdr:row>9</xdr:row>
      <xdr:rowOff>0</xdr:rowOff>
    </xdr:to>
    <xdr:sp macro="" textlink="Data!K6">
      <xdr:nvSpPr>
        <xdr:cNvPr id="9" name="TextBox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9229725" y="1114425"/>
          <a:ext cx="1666875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8CFAC7DE-089B-4C7C-AEEB-385235F6BF94}" type="TxLink">
            <a:rPr lang="en-US" sz="2800" b="1" i="0" u="none" strike="noStrike">
              <a:solidFill>
                <a:srgbClr val="000000"/>
              </a:solidFill>
              <a:latin typeface="Bahnschrift Light" panose="020B0502040204020203" pitchFamily="34" charset="0"/>
              <a:cs typeface="Calibri"/>
            </a:rPr>
            <a:pPr algn="ctr"/>
            <a:t>1.71</a:t>
          </a:fld>
          <a:endParaRPr lang="en-US" sz="3600" b="1">
            <a:latin typeface="Bahnschrift Light" panose="020B0502040204020203" pitchFamily="34" charset="0"/>
          </a:endParaRPr>
        </a:p>
      </xdr:txBody>
    </xdr:sp>
    <xdr:clientData/>
  </xdr:twoCellAnchor>
  <xdr:twoCellAnchor>
    <xdr:from>
      <xdr:col>6</xdr:col>
      <xdr:colOff>7972425</xdr:colOff>
      <xdr:row>3</xdr:row>
      <xdr:rowOff>161925</xdr:rowOff>
    </xdr:from>
    <xdr:to>
      <xdr:col>7</xdr:col>
      <xdr:colOff>1771650</xdr:colOff>
      <xdr:row>8</xdr:row>
      <xdr:rowOff>152400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1410950" y="771525"/>
          <a:ext cx="1952625" cy="942975"/>
        </a:xfrm>
        <a:prstGeom prst="roundRect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800" b="1" u="sng">
              <a:latin typeface="Bahnschrift SemiLight Condensed" panose="020B0502040204020203" pitchFamily="34" charset="0"/>
            </a:rPr>
            <a:t>Performance Score</a:t>
          </a:r>
        </a:p>
        <a:p>
          <a:pPr algn="ctr"/>
          <a:endParaRPr lang="en-US" sz="1800" b="1" u="sng">
            <a:latin typeface="Bahnschrift SemiLight Condensed" panose="020B0502040204020203" pitchFamily="34" charset="0"/>
          </a:endParaRPr>
        </a:p>
      </xdr:txBody>
    </xdr:sp>
    <xdr:clientData/>
  </xdr:twoCellAnchor>
  <xdr:twoCellAnchor>
    <xdr:from>
      <xdr:col>7</xdr:col>
      <xdr:colOff>19050</xdr:colOff>
      <xdr:row>5</xdr:row>
      <xdr:rowOff>152400</xdr:rowOff>
    </xdr:from>
    <xdr:to>
      <xdr:col>7</xdr:col>
      <xdr:colOff>1685925</xdr:colOff>
      <xdr:row>9</xdr:row>
      <xdr:rowOff>28575</xdr:rowOff>
    </xdr:to>
    <xdr:sp macro="" textlink="Data!K8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1610975" y="1143000"/>
          <a:ext cx="1666875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4F3C233-6840-4BE1-91FC-3167640B34BB}" type="TxLink">
            <a:rPr lang="en-US" sz="2800" b="1" i="0" u="none" strike="noStrike">
              <a:solidFill>
                <a:srgbClr val="000000"/>
              </a:solidFill>
              <a:latin typeface="Bahnschrift Light" panose="020B0502040204020203" pitchFamily="34" charset="0"/>
              <a:cs typeface="Calibri"/>
            </a:rPr>
            <a:pPr algn="ctr"/>
            <a:t>71.3</a:t>
          </a:fld>
          <a:endParaRPr lang="en-US" sz="7200" b="1">
            <a:latin typeface="Bahnschrift Light" panose="020B0502040204020203" pitchFamily="34" charset="0"/>
          </a:endParaRPr>
        </a:p>
      </xdr:txBody>
    </xdr:sp>
    <xdr:clientData/>
  </xdr:twoCellAnchor>
  <xdr:twoCellAnchor>
    <xdr:from>
      <xdr:col>3</xdr:col>
      <xdr:colOff>0</xdr:colOff>
      <xdr:row>11</xdr:row>
      <xdr:rowOff>34131</xdr:rowOff>
    </xdr:from>
    <xdr:to>
      <xdr:col>6</xdr:col>
      <xdr:colOff>3098006</xdr:colOff>
      <xdr:row>26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3666564</xdr:colOff>
      <xdr:row>10</xdr:row>
      <xdr:rowOff>161924</xdr:rowOff>
    </xdr:from>
    <xdr:to>
      <xdr:col>7</xdr:col>
      <xdr:colOff>1619250</xdr:colOff>
      <xdr:row>26</xdr:row>
      <xdr:rowOff>76199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9B6C5-DBBD-4027-AC7D-A495F2F39C5A}">
  <sheetPr codeName="Sheet1"/>
  <dimension ref="A1:L25"/>
  <sheetViews>
    <sheetView workbookViewId="0">
      <selection activeCell="G25" sqref="G25"/>
    </sheetView>
  </sheetViews>
  <sheetFormatPr defaultRowHeight="15" x14ac:dyDescent="0.25"/>
  <cols>
    <col min="1" max="1" width="9.7109375" style="3" bestFit="1" customWidth="1"/>
    <col min="2" max="2" width="8.28515625" bestFit="1" customWidth="1"/>
    <col min="3" max="3" width="10.5703125" bestFit="1" customWidth="1"/>
    <col min="4" max="4" width="8.28515625" bestFit="1" customWidth="1"/>
    <col min="5" max="5" width="6.5703125" bestFit="1" customWidth="1"/>
    <col min="6" max="6" width="5.85546875" bestFit="1" customWidth="1"/>
    <col min="7" max="7" width="11.140625" bestFit="1" customWidth="1"/>
    <col min="8" max="8" width="15.28515625" customWidth="1"/>
  </cols>
  <sheetData>
    <row r="1" spans="1:12" ht="30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12" x14ac:dyDescent="0.25">
      <c r="A2" s="3">
        <v>45893</v>
      </c>
      <c r="B2" t="s">
        <v>7</v>
      </c>
      <c r="C2" t="s">
        <v>13</v>
      </c>
      <c r="D2">
        <v>8</v>
      </c>
      <c r="E2">
        <v>7</v>
      </c>
      <c r="F2" t="str">
        <f>IF(C2="Productive", IF(E2&gt;=D2,"Yes","No"), IF(C2="NonProductive", IF(E2&lt;=D2,"Yes","No"), "No"))</f>
        <v>No</v>
      </c>
      <c r="G2" t="s">
        <v>21</v>
      </c>
      <c r="J2" t="s">
        <v>13</v>
      </c>
      <c r="L2" t="s">
        <v>21</v>
      </c>
    </row>
    <row r="3" spans="1:12" x14ac:dyDescent="0.25">
      <c r="A3" s="3">
        <v>45893</v>
      </c>
      <c r="B3" t="s">
        <v>9</v>
      </c>
      <c r="C3" t="s">
        <v>14</v>
      </c>
      <c r="D3">
        <v>2</v>
      </c>
      <c r="E3">
        <v>2</v>
      </c>
      <c r="F3" t="str">
        <f t="shared" ref="F3:F7" si="0">IF(C3="Productive", IF(E3&gt;=D3,"Yes","No"), IF(C3="NonProductive", IF(E3&lt;=D3,"Yes","No"), "No"))</f>
        <v>Yes</v>
      </c>
      <c r="G3" t="s">
        <v>21</v>
      </c>
      <c r="J3" t="s">
        <v>14</v>
      </c>
      <c r="L3" t="s">
        <v>22</v>
      </c>
    </row>
    <row r="4" spans="1:12" x14ac:dyDescent="0.25">
      <c r="A4" s="3">
        <v>45893</v>
      </c>
      <c r="B4" t="s">
        <v>10</v>
      </c>
      <c r="C4" t="s">
        <v>14</v>
      </c>
      <c r="D4">
        <v>2</v>
      </c>
      <c r="E4">
        <v>0</v>
      </c>
      <c r="F4" t="str">
        <f t="shared" si="0"/>
        <v>No</v>
      </c>
      <c r="G4" t="s">
        <v>22</v>
      </c>
      <c r="J4" t="s">
        <v>20</v>
      </c>
    </row>
    <row r="5" spans="1:12" x14ac:dyDescent="0.25">
      <c r="A5" s="3">
        <v>45893</v>
      </c>
      <c r="B5" t="s">
        <v>11</v>
      </c>
      <c r="C5" t="s">
        <v>14</v>
      </c>
      <c r="D5">
        <v>2</v>
      </c>
      <c r="E5">
        <v>1</v>
      </c>
      <c r="F5" t="str">
        <f t="shared" si="0"/>
        <v>No</v>
      </c>
      <c r="G5" t="s">
        <v>22</v>
      </c>
    </row>
    <row r="6" spans="1:12" x14ac:dyDescent="0.25">
      <c r="A6" s="3">
        <v>45893</v>
      </c>
      <c r="B6" t="s">
        <v>18</v>
      </c>
      <c r="C6" t="s">
        <v>20</v>
      </c>
      <c r="D6">
        <v>1</v>
      </c>
      <c r="E6">
        <v>2</v>
      </c>
      <c r="F6" t="str">
        <f t="shared" si="0"/>
        <v>No</v>
      </c>
      <c r="G6" t="s">
        <v>21</v>
      </c>
    </row>
    <row r="7" spans="1:12" x14ac:dyDescent="0.25">
      <c r="A7" s="3">
        <v>45893</v>
      </c>
      <c r="B7" t="s">
        <v>19</v>
      </c>
      <c r="C7" t="s">
        <v>20</v>
      </c>
      <c r="D7">
        <v>1</v>
      </c>
      <c r="E7">
        <v>2</v>
      </c>
      <c r="F7" t="str">
        <f t="shared" si="0"/>
        <v>No</v>
      </c>
      <c r="G7" t="s">
        <v>22</v>
      </c>
    </row>
    <row r="8" spans="1:12" x14ac:dyDescent="0.25">
      <c r="A8" s="3">
        <v>45894</v>
      </c>
      <c r="B8" t="s">
        <v>7</v>
      </c>
      <c r="C8" t="s">
        <v>13</v>
      </c>
      <c r="D8">
        <v>8</v>
      </c>
      <c r="E8">
        <v>7</v>
      </c>
      <c r="F8" t="str">
        <f>IF(C8="Productive", IF(E8&gt;=D8,"Yes","No"), IF(C8="NonProductive", IF(E8&lt;=D8,"Yes","No"), "No"))</f>
        <v>No</v>
      </c>
      <c r="G8" t="s">
        <v>21</v>
      </c>
    </row>
    <row r="9" spans="1:12" x14ac:dyDescent="0.25">
      <c r="A9" s="3">
        <v>45894</v>
      </c>
      <c r="B9" t="s">
        <v>9</v>
      </c>
      <c r="C9" t="s">
        <v>14</v>
      </c>
      <c r="D9">
        <v>2</v>
      </c>
      <c r="E9">
        <v>2</v>
      </c>
      <c r="F9" t="str">
        <f t="shared" ref="F9:F13" si="1">IF(C9="Productive", IF(E9&gt;=D9,"Yes","No"), IF(C9="NonProductive", IF(E9&lt;=D9,"Yes","No"), "No"))</f>
        <v>Yes</v>
      </c>
      <c r="G9" t="s">
        <v>21</v>
      </c>
    </row>
    <row r="10" spans="1:12" x14ac:dyDescent="0.25">
      <c r="A10" s="3">
        <v>45894</v>
      </c>
      <c r="B10" t="s">
        <v>10</v>
      </c>
      <c r="C10" t="s">
        <v>14</v>
      </c>
      <c r="D10">
        <v>2</v>
      </c>
      <c r="E10">
        <v>1</v>
      </c>
      <c r="F10" t="str">
        <f t="shared" si="1"/>
        <v>No</v>
      </c>
      <c r="G10" t="s">
        <v>22</v>
      </c>
    </row>
    <row r="11" spans="1:12" x14ac:dyDescent="0.25">
      <c r="A11" s="3">
        <v>45894</v>
      </c>
      <c r="B11" t="s">
        <v>11</v>
      </c>
      <c r="C11" t="s">
        <v>14</v>
      </c>
      <c r="D11">
        <v>2</v>
      </c>
      <c r="E11">
        <v>2</v>
      </c>
      <c r="F11" t="str">
        <f t="shared" si="1"/>
        <v>Yes</v>
      </c>
      <c r="G11" t="s">
        <v>22</v>
      </c>
    </row>
    <row r="12" spans="1:12" x14ac:dyDescent="0.25">
      <c r="A12" s="3">
        <v>45894</v>
      </c>
      <c r="B12" t="s">
        <v>18</v>
      </c>
      <c r="C12" t="s">
        <v>20</v>
      </c>
      <c r="D12">
        <v>1</v>
      </c>
      <c r="E12">
        <v>0.5</v>
      </c>
      <c r="F12" t="str">
        <f t="shared" si="1"/>
        <v>No</v>
      </c>
      <c r="G12" t="s">
        <v>21</v>
      </c>
    </row>
    <row r="13" spans="1:12" x14ac:dyDescent="0.25">
      <c r="A13" s="3">
        <v>45894</v>
      </c>
      <c r="B13" t="s">
        <v>19</v>
      </c>
      <c r="C13" t="s">
        <v>20</v>
      </c>
      <c r="D13">
        <v>1</v>
      </c>
      <c r="E13">
        <v>0</v>
      </c>
      <c r="F13" t="str">
        <f t="shared" si="1"/>
        <v>No</v>
      </c>
      <c r="G13" t="s">
        <v>22</v>
      </c>
    </row>
    <row r="14" spans="1:12" x14ac:dyDescent="0.25">
      <c r="A14" s="3">
        <v>45895</v>
      </c>
      <c r="B14" t="s">
        <v>7</v>
      </c>
      <c r="C14" t="s">
        <v>13</v>
      </c>
      <c r="D14">
        <v>8</v>
      </c>
      <c r="E14">
        <v>7</v>
      </c>
      <c r="F14" t="str">
        <f>IF(C14="Productive", IF(E14&gt;=D14,"Yes","No"), IF(C14="NonProductive", IF(E14&lt;=D14,"Yes","No"), "No"))</f>
        <v>No</v>
      </c>
      <c r="G14" t="s">
        <v>21</v>
      </c>
    </row>
    <row r="15" spans="1:12" x14ac:dyDescent="0.25">
      <c r="A15" s="3">
        <v>45895</v>
      </c>
      <c r="B15" t="s">
        <v>9</v>
      </c>
      <c r="C15" t="s">
        <v>14</v>
      </c>
      <c r="D15">
        <v>2</v>
      </c>
      <c r="E15">
        <v>1</v>
      </c>
      <c r="F15" t="str">
        <f t="shared" ref="F15:F19" si="2">IF(C15="Productive", IF(E15&gt;=D15,"Yes","No"), IF(C15="NonProductive", IF(E15&lt;=D15,"Yes","No"), "No"))</f>
        <v>No</v>
      </c>
      <c r="G15" t="s">
        <v>8</v>
      </c>
    </row>
    <row r="16" spans="1:12" x14ac:dyDescent="0.25">
      <c r="A16" s="3">
        <v>45895</v>
      </c>
      <c r="B16" t="s">
        <v>10</v>
      </c>
      <c r="C16" t="s">
        <v>14</v>
      </c>
      <c r="D16">
        <v>2</v>
      </c>
      <c r="E16">
        <v>3</v>
      </c>
      <c r="F16" t="str">
        <f t="shared" si="2"/>
        <v>Yes</v>
      </c>
      <c r="G16" t="s">
        <v>22</v>
      </c>
    </row>
    <row r="17" spans="1:7" x14ac:dyDescent="0.25">
      <c r="A17" s="3">
        <v>45895</v>
      </c>
      <c r="B17" t="s">
        <v>11</v>
      </c>
      <c r="C17" t="s">
        <v>14</v>
      </c>
      <c r="D17">
        <v>2</v>
      </c>
      <c r="E17">
        <v>2</v>
      </c>
      <c r="F17" t="str">
        <f t="shared" si="2"/>
        <v>Yes</v>
      </c>
      <c r="G17" t="s">
        <v>22</v>
      </c>
    </row>
    <row r="18" spans="1:7" x14ac:dyDescent="0.25">
      <c r="A18" s="3">
        <v>45895</v>
      </c>
      <c r="B18" t="s">
        <v>18</v>
      </c>
      <c r="C18" t="s">
        <v>20</v>
      </c>
      <c r="D18">
        <v>1</v>
      </c>
      <c r="E18">
        <v>1</v>
      </c>
      <c r="F18" t="str">
        <f t="shared" si="2"/>
        <v>No</v>
      </c>
      <c r="G18" t="s">
        <v>21</v>
      </c>
    </row>
    <row r="19" spans="1:7" x14ac:dyDescent="0.25">
      <c r="A19" s="3">
        <v>45895</v>
      </c>
      <c r="B19" t="s">
        <v>19</v>
      </c>
      <c r="C19" t="s">
        <v>20</v>
      </c>
      <c r="D19">
        <v>1</v>
      </c>
      <c r="E19">
        <v>1</v>
      </c>
      <c r="F19" t="str">
        <f t="shared" si="2"/>
        <v>No</v>
      </c>
      <c r="G19" t="s">
        <v>22</v>
      </c>
    </row>
    <row r="20" spans="1:7" x14ac:dyDescent="0.25">
      <c r="A20" s="3">
        <v>45896</v>
      </c>
      <c r="B20" t="s">
        <v>7</v>
      </c>
      <c r="C20" t="s">
        <v>13</v>
      </c>
      <c r="D20">
        <v>8</v>
      </c>
      <c r="E20">
        <v>7</v>
      </c>
      <c r="F20" t="str">
        <f>IF(C20="Productive", IF(E20&gt;=D20,"Yes","No"), IF(C20="NonProductive", IF(E20&lt;=D20,"Yes","No"), "No"))</f>
        <v>No</v>
      </c>
      <c r="G20" t="s">
        <v>21</v>
      </c>
    </row>
    <row r="21" spans="1:7" x14ac:dyDescent="0.25">
      <c r="A21" s="3">
        <v>45896</v>
      </c>
      <c r="B21" t="s">
        <v>9</v>
      </c>
      <c r="C21" t="s">
        <v>14</v>
      </c>
      <c r="D21">
        <v>2</v>
      </c>
      <c r="E21">
        <v>2</v>
      </c>
      <c r="F21" t="str">
        <f t="shared" ref="F21:F25" si="3">IF(C21="Productive", IF(E21&gt;=D21,"Yes","No"), IF(C21="NonProductive", IF(E21&lt;=D21,"Yes","No"), "No"))</f>
        <v>Yes</v>
      </c>
      <c r="G21" t="s">
        <v>8</v>
      </c>
    </row>
    <row r="22" spans="1:7" x14ac:dyDescent="0.25">
      <c r="A22" s="3">
        <v>45896</v>
      </c>
      <c r="B22" t="s">
        <v>10</v>
      </c>
      <c r="C22" t="s">
        <v>14</v>
      </c>
      <c r="D22">
        <v>2</v>
      </c>
      <c r="E22">
        <v>3</v>
      </c>
      <c r="F22" t="str">
        <f t="shared" si="3"/>
        <v>Yes</v>
      </c>
      <c r="G22" t="s">
        <v>22</v>
      </c>
    </row>
    <row r="23" spans="1:7" x14ac:dyDescent="0.25">
      <c r="A23" s="3">
        <v>45896</v>
      </c>
      <c r="B23" t="s">
        <v>11</v>
      </c>
      <c r="C23" t="s">
        <v>14</v>
      </c>
      <c r="D23">
        <v>2</v>
      </c>
      <c r="E23">
        <v>2</v>
      </c>
      <c r="F23" t="str">
        <f t="shared" si="3"/>
        <v>Yes</v>
      </c>
      <c r="G23" t="s">
        <v>22</v>
      </c>
    </row>
    <row r="24" spans="1:7" x14ac:dyDescent="0.25">
      <c r="A24" s="3">
        <v>45896</v>
      </c>
      <c r="B24" t="s">
        <v>18</v>
      </c>
      <c r="C24" t="s">
        <v>20</v>
      </c>
      <c r="D24">
        <v>1</v>
      </c>
      <c r="E24">
        <v>1</v>
      </c>
      <c r="F24" t="str">
        <f t="shared" si="3"/>
        <v>No</v>
      </c>
      <c r="G24" t="s">
        <v>21</v>
      </c>
    </row>
    <row r="25" spans="1:7" x14ac:dyDescent="0.25">
      <c r="A25" s="3">
        <v>45896</v>
      </c>
      <c r="B25" t="s">
        <v>19</v>
      </c>
      <c r="C25" t="s">
        <v>20</v>
      </c>
      <c r="D25">
        <v>1</v>
      </c>
      <c r="E25">
        <v>0</v>
      </c>
      <c r="F25" t="str">
        <f t="shared" si="3"/>
        <v>No</v>
      </c>
      <c r="G25" t="s">
        <v>22</v>
      </c>
    </row>
  </sheetData>
  <dataValidations count="3">
    <dataValidation type="list" allowBlank="1" showInputMessage="1" showErrorMessage="1" sqref="G3:G25" xr:uid="{F56E01B9-9535-4F19-9474-18161CFCCCDB}">
      <formula1>$L$2:$L$3</formula1>
    </dataValidation>
    <dataValidation type="list" allowBlank="1" showInputMessage="1" showErrorMessage="1" sqref="C2:C25" xr:uid="{0E8820DD-E075-4FD2-A493-03761BB1374F}">
      <formula1>$J$2:$J$4</formula1>
    </dataValidation>
    <dataValidation type="list" allowBlank="1" showInputMessage="1" showErrorMessage="1" sqref="G2" xr:uid="{18C9507D-43A8-40C2-B378-39D71DEF0ABE}">
      <formula1>"complete, incomplete"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DashboardData">
                <anchor moveWithCells="1" sizeWithCells="1">
                  <from>
                    <xdr:col>7</xdr:col>
                    <xdr:colOff>114300</xdr:colOff>
                    <xdr:row>0</xdr:row>
                    <xdr:rowOff>104775</xdr:rowOff>
                  </from>
                  <to>
                    <xdr:col>7</xdr:col>
                    <xdr:colOff>666750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A006-2C61-4526-B506-44DB6D5F3783}">
  <sheetPr codeName="Sheet2"/>
  <dimension ref="A1:K8"/>
  <sheetViews>
    <sheetView workbookViewId="0">
      <selection activeCell="D2" sqref="D2:E7"/>
    </sheetView>
  </sheetViews>
  <sheetFormatPr defaultRowHeight="15" x14ac:dyDescent="0.25"/>
  <cols>
    <col min="1" max="1" width="14.85546875" bestFit="1" customWidth="1"/>
    <col min="2" max="2" width="11" bestFit="1" customWidth="1"/>
    <col min="4" max="4" width="8.28515625" bestFit="1" customWidth="1"/>
    <col min="5" max="5" width="11" bestFit="1" customWidth="1"/>
    <col min="7" max="7" width="9.7109375" bestFit="1" customWidth="1"/>
    <col min="8" max="8" width="16.28515625" bestFit="1" customWidth="1"/>
    <col min="10" max="10" width="26" bestFit="1" customWidth="1"/>
    <col min="11" max="11" width="6.140625" bestFit="1" customWidth="1"/>
  </cols>
  <sheetData>
    <row r="1" spans="1:11" x14ac:dyDescent="0.25">
      <c r="A1" t="s">
        <v>2</v>
      </c>
      <c r="B1" t="s">
        <v>12</v>
      </c>
      <c r="D1" t="s">
        <v>1</v>
      </c>
      <c r="E1" t="s">
        <v>12</v>
      </c>
      <c r="G1" t="s">
        <v>0</v>
      </c>
      <c r="H1" t="s">
        <v>15</v>
      </c>
      <c r="J1" t="s">
        <v>16</v>
      </c>
      <c r="K1" t="s">
        <v>17</v>
      </c>
    </row>
    <row r="2" spans="1:11" x14ac:dyDescent="0.25">
      <c r="A2" t="s">
        <v>13</v>
      </c>
      <c r="B2">
        <v>28</v>
      </c>
      <c r="D2" t="s">
        <v>7</v>
      </c>
      <c r="E2">
        <v>28</v>
      </c>
      <c r="G2" s="3">
        <v>45893</v>
      </c>
      <c r="H2">
        <v>3</v>
      </c>
      <c r="J2" t="s">
        <v>23</v>
      </c>
      <c r="K2">
        <v>21</v>
      </c>
    </row>
    <row r="3" spans="1:11" x14ac:dyDescent="0.25">
      <c r="A3" t="s">
        <v>14</v>
      </c>
      <c r="B3">
        <v>21</v>
      </c>
      <c r="D3" t="s">
        <v>9</v>
      </c>
      <c r="E3">
        <v>7</v>
      </c>
      <c r="G3" s="3">
        <v>45894</v>
      </c>
      <c r="H3">
        <v>5</v>
      </c>
      <c r="J3" t="s">
        <v>24</v>
      </c>
      <c r="K3">
        <v>28</v>
      </c>
    </row>
    <row r="4" spans="1:11" x14ac:dyDescent="0.25">
      <c r="A4" t="s">
        <v>20</v>
      </c>
      <c r="B4">
        <v>7.5</v>
      </c>
      <c r="D4" t="s">
        <v>10</v>
      </c>
      <c r="E4">
        <v>7</v>
      </c>
      <c r="G4" s="3">
        <v>45895</v>
      </c>
      <c r="H4">
        <v>6</v>
      </c>
      <c r="J4" t="s">
        <v>25</v>
      </c>
      <c r="K4">
        <v>7.5</v>
      </c>
    </row>
    <row r="5" spans="1:11" x14ac:dyDescent="0.25">
      <c r="D5" t="s">
        <v>11</v>
      </c>
      <c r="E5">
        <v>7</v>
      </c>
      <c r="G5" s="3">
        <v>45896</v>
      </c>
      <c r="H5">
        <v>7</v>
      </c>
      <c r="J5" t="s">
        <v>26</v>
      </c>
      <c r="K5">
        <v>50</v>
      </c>
    </row>
    <row r="6" spans="1:11" x14ac:dyDescent="0.25">
      <c r="D6" t="s">
        <v>18</v>
      </c>
      <c r="E6">
        <v>4.5</v>
      </c>
      <c r="J6" t="s">
        <v>27</v>
      </c>
      <c r="K6">
        <v>1.71</v>
      </c>
    </row>
    <row r="7" spans="1:11" x14ac:dyDescent="0.25">
      <c r="D7" t="s">
        <v>19</v>
      </c>
      <c r="E7">
        <v>3</v>
      </c>
      <c r="J7" t="s">
        <v>28</v>
      </c>
      <c r="K7">
        <v>5.25</v>
      </c>
    </row>
    <row r="8" spans="1:11" x14ac:dyDescent="0.25">
      <c r="J8" t="s">
        <v>29</v>
      </c>
      <c r="K8">
        <v>71.3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E36C1-1BC0-453F-9457-C2C5690AEB25}">
  <dimension ref="E1:G3"/>
  <sheetViews>
    <sheetView showGridLines="0" tabSelected="1" topLeftCell="C2" zoomScaleNormal="100" workbookViewId="0">
      <selection activeCell="C17" sqref="C17"/>
    </sheetView>
  </sheetViews>
  <sheetFormatPr defaultRowHeight="15" x14ac:dyDescent="0.25"/>
  <cols>
    <col min="4" max="4" width="2" customWidth="1"/>
    <col min="5" max="5" width="9.140625" hidden="1" customWidth="1"/>
    <col min="6" max="6" width="22.140625" customWidth="1"/>
    <col min="7" max="7" width="122.28515625" customWidth="1"/>
    <col min="8" max="8" width="39.42578125" customWidth="1"/>
  </cols>
  <sheetData>
    <row r="1" spans="7:7" ht="6" hidden="1" customHeight="1" x14ac:dyDescent="0.25"/>
    <row r="2" spans="7:7" ht="32.25" customHeight="1" thickBot="1" x14ac:dyDescent="0.65">
      <c r="G2" s="4" t="s">
        <v>30</v>
      </c>
    </row>
    <row r="3" spans="7:7" ht="15.75" thickTop="1" x14ac:dyDescent="0.25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Tracker</vt:lpstr>
      <vt:lpstr>Data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Abhik Gauli</dc:creator>
  <cp:lastModifiedBy>Abhik Gauli</cp:lastModifiedBy>
  <dcterms:created xsi:type="dcterms:W3CDTF">2025-08-29T05:04:34Z</dcterms:created>
  <dcterms:modified xsi:type="dcterms:W3CDTF">2025-08-29T06:39:19Z</dcterms:modified>
</cp:coreProperties>
</file>